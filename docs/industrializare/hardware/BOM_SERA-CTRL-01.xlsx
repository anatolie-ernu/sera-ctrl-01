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SERA-CTRL-01 rev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<sst xmlns="http://schemas.openxmlformats.org/spreadsheetml/2006/main" count="154" uniqueCount="133">
  <si>
    <t xml:space="preserve">Ref</t>
  </si>
  <si>
    <t xml:space="preserve">Componentă</t>
  </si>
  <si>
    <t xml:space="preserve">Valoare / Cod producător</t>
  </si>
  <si>
    <t xml:space="preserve">Pachet</t>
  </si>
  <si>
    <t xml:space="preserve">Cod LCSC</t>
  </si>
  <si>
    <t xml:space="preserve">Sursă alternativă</t>
  </si>
  <si>
    <t xml:space="preserve">Cant.</t>
  </si>
  <si>
    <t xml:space="preserve">Preț unit. € (q=100)</t>
  </si>
  <si>
    <t xml:space="preserve">Total €</t>
  </si>
  <si>
    <t xml:space="preserve">J1</t>
  </si>
  <si>
    <t xml:space="preserve">Terminal bloc 2P 5.08mm</t>
  </si>
  <si>
    <t xml:space="preserve">DG500-5.08-02P</t>
  </si>
  <si>
    <t xml:space="preserve">THT</t>
  </si>
  <si>
    <t xml:space="preserve">C707593</t>
  </si>
  <si>
    <t xml:space="preserve">Phoenix MKDS 1,5/2</t>
  </si>
  <si>
    <t xml:space="preserve">F1</t>
  </si>
  <si>
    <t xml:space="preserve">Siguranță 5x20 2A T + suport</t>
  </si>
  <si>
    <t xml:space="preserve">—</t>
  </si>
  <si>
    <t xml:space="preserve">C3265</t>
  </si>
  <si>
    <t xml:space="preserve">Littelfuse 0217002</t>
  </si>
  <si>
    <t xml:space="preserve">RV1</t>
  </si>
  <si>
    <t xml:space="preserve">Varistor MOV</t>
  </si>
  <si>
    <t xml:space="preserve">10D471K 470V</t>
  </si>
  <si>
    <t xml:space="preserve">C129863</t>
  </si>
  <si>
    <t xml:space="preserve">Bourns MOV-10D471K</t>
  </si>
  <si>
    <t xml:space="preserve">PS1</t>
  </si>
  <si>
    <t xml:space="preserve">Sursă AC-DC izolată 5V/2A</t>
  </si>
  <si>
    <t xml:space="preserve">HLK-10M05</t>
  </si>
  <si>
    <t xml:space="preserve">C209901</t>
  </si>
  <si>
    <t xml:space="preserve">Mean Well IRM-10-5</t>
  </si>
  <si>
    <t xml:space="preserve">C1</t>
  </si>
  <si>
    <t xml:space="preserve">Electrolitic 470µF/16V low-ESR</t>
  </si>
  <si>
    <t xml:space="preserve">radial</t>
  </si>
  <si>
    <t xml:space="preserve">C134811</t>
  </si>
  <si>
    <t xml:space="preserve">Panasonic FR</t>
  </si>
  <si>
    <t xml:space="preserve">C2-C6</t>
  </si>
  <si>
    <t xml:space="preserve">Ceramic 100nF–22µF set</t>
  </si>
  <si>
    <t xml:space="preserve">X7R</t>
  </si>
  <si>
    <t xml:space="preserve">0805</t>
  </si>
  <si>
    <t xml:space="preserve">C49678 ș.a.</t>
  </si>
  <si>
    <t xml:space="preserve">Samsung/Murata</t>
  </si>
  <si>
    <t xml:space="preserve">U2</t>
  </si>
  <si>
    <t xml:space="preserve">LDO 3.3V 800mA</t>
  </si>
  <si>
    <t xml:space="preserve">ME6217C33M5G</t>
  </si>
  <si>
    <t xml:space="preserve">SOT-23-5</t>
  </si>
  <si>
    <t xml:space="preserve">C427602</t>
  </si>
  <si>
    <t xml:space="preserve">HT7833</t>
  </si>
  <si>
    <t xml:space="preserve">U1</t>
  </si>
  <si>
    <t xml:space="preserve">Modul WiFi 8MB</t>
  </si>
  <si>
    <t xml:space="preserve">ESP32-WROOM-32E-N8</t>
  </si>
  <si>
    <t xml:space="preserve">SMD</t>
  </si>
  <si>
    <t xml:space="preserve">C701343</t>
  </si>
  <si>
    <t xml:space="preserve">— (unic, stoc dublu!)</t>
  </si>
  <si>
    <t xml:space="preserve">SW1,SW2</t>
  </si>
  <si>
    <t xml:space="preserve">Buton tact 6x6</t>
  </si>
  <si>
    <t xml:space="preserve">TS-1187A</t>
  </si>
  <si>
    <t xml:space="preserve">C318884</t>
  </si>
  <si>
    <t xml:space="preserve">Omron B3FS</t>
  </si>
  <si>
    <t xml:space="preserve">J2</t>
  </si>
  <si>
    <t xml:space="preserve">USB-C 16 pini</t>
  </si>
  <si>
    <t xml:space="preserve">TYPE-C-31-M-12</t>
  </si>
  <si>
    <t xml:space="preserve">C165948</t>
  </si>
  <si>
    <t xml:space="preserve">GCT USB4105</t>
  </si>
  <si>
    <t xml:space="preserve">U3</t>
  </si>
  <si>
    <t xml:space="preserve">USB-UART</t>
  </si>
  <si>
    <t xml:space="preserve">CP2102N-A02-GQFN24</t>
  </si>
  <si>
    <t xml:space="preserve">QFN-24</t>
  </si>
  <si>
    <t xml:space="preserve">C964632</t>
  </si>
  <si>
    <t xml:space="preserve">CH343P (cu modif. schemă)</t>
  </si>
  <si>
    <t xml:space="preserve">Q1,Q2</t>
  </si>
  <si>
    <t xml:space="preserve">Tranzistor NPN</t>
  </si>
  <si>
    <t xml:space="preserve">S8050</t>
  </si>
  <si>
    <t xml:space="preserve">SOT-23</t>
  </si>
  <si>
    <t xml:space="preserve">C2146</t>
  </si>
  <si>
    <t xml:space="preserve">MMBT2222A</t>
  </si>
  <si>
    <t xml:space="preserve">R1-R9</t>
  </si>
  <si>
    <t xml:space="preserve">Rezistoare set 1k–10k</t>
  </si>
  <si>
    <t xml:space="preserve">diverse</t>
  </si>
  <si>
    <t xml:space="preserve">Yageo/UNI-ROYAL</t>
  </si>
  <si>
    <t xml:space="preserve">U4</t>
  </si>
  <si>
    <t xml:space="preserve">Driver releu 7 canale</t>
  </si>
  <si>
    <t xml:space="preserve">ULN2003A</t>
  </si>
  <si>
    <t xml:space="preserve">SOIC-16</t>
  </si>
  <si>
    <t xml:space="preserve">C7512</t>
  </si>
  <si>
    <t xml:space="preserve">TI ULN2003ADR</t>
  </si>
  <si>
    <t xml:space="preserve">K1-K5</t>
  </si>
  <si>
    <t xml:space="preserve">Releu 12A/250VAC bobină 5V</t>
  </si>
  <si>
    <t xml:space="preserve">HF115F/005-1ZS3</t>
  </si>
  <si>
    <t xml:space="preserve">C190253</t>
  </si>
  <si>
    <t xml:space="preserve">Omron G2RL-1-E DC5</t>
  </si>
  <si>
    <t xml:space="preserve">LED1-8</t>
  </si>
  <si>
    <t xml:space="preserve">LED 0805 verde/albastru/galben</t>
  </si>
  <si>
    <t xml:space="preserve">C2297</t>
  </si>
  <si>
    <t xml:space="preserve">Everlight</t>
  </si>
  <si>
    <t xml:space="preserve">RC1,RC2</t>
  </si>
  <si>
    <t xml:space="preserve">Snubber RC 100Ω/2W+100nF X2</t>
  </si>
  <si>
    <t xml:space="preserve">C129864</t>
  </si>
  <si>
    <t xml:space="preserve">Vishay/KEMET X2</t>
  </si>
  <si>
    <t xml:space="preserve">J3-J7</t>
  </si>
  <si>
    <t xml:space="preserve">Terminal bloc 3P 5.08mm</t>
  </si>
  <si>
    <t xml:space="preserve">DG500-5.08-03P</t>
  </si>
  <si>
    <t xml:space="preserve">C707594</t>
  </si>
  <si>
    <t xml:space="preserve">Phoenix MKDS 1,5/3</t>
  </si>
  <si>
    <t xml:space="preserve">J8-J10</t>
  </si>
  <si>
    <t xml:space="preserve">Conector JST-XH 3-4P</t>
  </si>
  <si>
    <t xml:space="preserve">C158012</t>
  </si>
  <si>
    <t xml:space="preserve">JST original</t>
  </si>
  <si>
    <t xml:space="preserve">D1-D4</t>
  </si>
  <si>
    <t xml:space="preserve">TVS ESD</t>
  </si>
  <si>
    <t xml:space="preserve">PESD3V3 + SM712</t>
  </si>
  <si>
    <t xml:space="preserve">SOD-323</t>
  </si>
  <si>
    <t xml:space="preserve">C448739 ș.a.</t>
  </si>
  <si>
    <t xml:space="preserve">Nexperia/Semtech</t>
  </si>
  <si>
    <t xml:space="preserve">U5</t>
  </si>
  <si>
    <t xml:space="preserve">Transceiver RS485 3.3V</t>
  </si>
  <si>
    <t xml:space="preserve">MAX3485ESA</t>
  </si>
  <si>
    <t xml:space="preserve">SOIC-8</t>
  </si>
  <si>
    <t xml:space="preserve">C9979</t>
  </si>
  <si>
    <t xml:space="preserve">SP3485EN</t>
  </si>
  <si>
    <t xml:space="preserve">SHT1</t>
  </si>
  <si>
    <t xml:space="preserve">Senzor temp/umid (sondă)</t>
  </si>
  <si>
    <t xml:space="preserve">SHT31-DIS-B</t>
  </si>
  <si>
    <t xml:space="preserve">DFN-8</t>
  </si>
  <si>
    <t xml:space="preserve">C97793</t>
  </si>
  <si>
    <t xml:space="preserve">SHT40-AD1B</t>
  </si>
  <si>
    <t xml:space="preserve">PCB 130x90 2 straturi 2oz</t>
  </si>
  <si>
    <t xml:space="preserve">SERA-CTRL-01-revA</t>
  </si>
  <si>
    <t xml:space="preserve">JLCPCB</t>
  </si>
  <si>
    <t xml:space="preserve">PCBWay</t>
  </si>
  <si>
    <t xml:space="preserve">Carcasă DIN 9M sau IP65</t>
  </si>
  <si>
    <t xml:space="preserve">Italtronic 9M / Gainta G2113</t>
  </si>
  <si>
    <t xml:space="preserve">Camdenboss</t>
  </si>
  <si>
    <t xml:space="preserve">TOTAL BOM / unitate: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</si>
</sst>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0.00&quot; €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E3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E3A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n">
        <v>1</v>
      </c>
      <c r="H2" s="4" t="n">
        <v>0.32</v>
      </c>
      <c r="I2" s="5" t="n">
        <f aca="false">G2*H2</f>
        <v>0.32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12</v>
      </c>
      <c r="E3" s="2" t="s">
        <v>18</v>
      </c>
      <c r="F3" s="2" t="s">
        <v>19</v>
      </c>
      <c r="G3" s="3" t="n">
        <v>1</v>
      </c>
      <c r="H3" s="4" t="n">
        <v>0.18</v>
      </c>
      <c r="I3" s="5" t="n">
        <f aca="false">G3*H3</f>
        <v>0.18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12</v>
      </c>
      <c r="E4" s="2" t="s">
        <v>23</v>
      </c>
      <c r="F4" s="2" t="s">
        <v>24</v>
      </c>
      <c r="G4" s="3" t="n">
        <v>1</v>
      </c>
      <c r="H4" s="4" t="n">
        <v>0.09</v>
      </c>
      <c r="I4" s="5" t="n">
        <f aca="false">G4*H4</f>
        <v>0.09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12</v>
      </c>
      <c r="E5" s="2" t="s">
        <v>28</v>
      </c>
      <c r="F5" s="2" t="s">
        <v>29</v>
      </c>
      <c r="G5" s="3" t="n">
        <v>1</v>
      </c>
      <c r="H5" s="4" t="n">
        <v>3.85</v>
      </c>
      <c r="I5" s="5" t="n">
        <f aca="false">G5*H5</f>
        <v>3.85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17</v>
      </c>
      <c r="D6" s="2" t="s">
        <v>32</v>
      </c>
      <c r="E6" s="2" t="s">
        <v>33</v>
      </c>
      <c r="F6" s="2" t="s">
        <v>34</v>
      </c>
      <c r="G6" s="3" t="n">
        <v>1</v>
      </c>
      <c r="H6" s="4" t="n">
        <v>0.12</v>
      </c>
      <c r="I6" s="5" t="n">
        <f aca="false">G6*H6</f>
        <v>0.12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3" t="n">
        <v>8</v>
      </c>
      <c r="H7" s="4" t="n">
        <v>0.03</v>
      </c>
      <c r="I7" s="5" t="n">
        <f aca="false">G7*H7</f>
        <v>0.24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3" t="n">
        <v>1</v>
      </c>
      <c r="H8" s="4" t="n">
        <v>0.15</v>
      </c>
      <c r="I8" s="5" t="n">
        <f aca="false">G8*H8</f>
        <v>0.15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3" t="n">
        <v>1</v>
      </c>
      <c r="H9" s="4" t="n">
        <v>3.2</v>
      </c>
      <c r="I9" s="5" t="n">
        <f aca="false">G9*H9</f>
        <v>3.2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50</v>
      </c>
      <c r="E10" s="2" t="s">
        <v>56</v>
      </c>
      <c r="F10" s="2" t="s">
        <v>57</v>
      </c>
      <c r="G10" s="3" t="n">
        <v>2</v>
      </c>
      <c r="H10" s="4" t="n">
        <v>0.04</v>
      </c>
      <c r="I10" s="5" t="n">
        <f aca="false">G10*H10</f>
        <v>0.08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50</v>
      </c>
      <c r="E11" s="2" t="s">
        <v>61</v>
      </c>
      <c r="F11" s="2" t="s">
        <v>62</v>
      </c>
      <c r="G11" s="3" t="n">
        <v>1</v>
      </c>
      <c r="H11" s="4" t="n">
        <v>0.22</v>
      </c>
      <c r="I11" s="5" t="n">
        <f aca="false">G11*H11</f>
        <v>0.22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3" t="n">
        <v>1</v>
      </c>
      <c r="H12" s="4" t="n">
        <v>1.45</v>
      </c>
      <c r="I12" s="5" t="n">
        <f aca="false">G12*H12</f>
        <v>1.45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3" t="n">
        <v>2</v>
      </c>
      <c r="H13" s="4" t="n">
        <v>0.02</v>
      </c>
      <c r="I13" s="5" t="n">
        <f aca="false">G13*H13</f>
        <v>0.04</v>
      </c>
    </row>
    <row r="14" customFormat="false" ht="15" hidden="false" customHeight="false" outlineLevel="0" collapsed="false">
      <c r="A14" s="2" t="s">
        <v>75</v>
      </c>
      <c r="B14" s="2" t="s">
        <v>76</v>
      </c>
      <c r="C14" s="2" t="s">
        <v>17</v>
      </c>
      <c r="D14" s="2" t="s">
        <v>38</v>
      </c>
      <c r="E14" s="2" t="s">
        <v>77</v>
      </c>
      <c r="F14" s="2" t="s">
        <v>78</v>
      </c>
      <c r="G14" s="3" t="n">
        <v>12</v>
      </c>
      <c r="H14" s="4" t="n">
        <v>0.005</v>
      </c>
      <c r="I14" s="5" t="n">
        <f aca="false">G14*H14</f>
        <v>0.06</v>
      </c>
    </row>
    <row r="15" customFormat="false" ht="15" hidden="false" customHeight="false" outlineLevel="0" collapsed="false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3" t="n">
        <v>1</v>
      </c>
      <c r="H15" s="4" t="n">
        <v>0.11</v>
      </c>
      <c r="I15" s="5" t="n">
        <f aca="false">G15*H15</f>
        <v>0.11</v>
      </c>
    </row>
    <row r="16" customFormat="false" ht="15" hidden="false" customHeight="false" outlineLevel="0" collapsed="false">
      <c r="A16" s="2" t="s">
        <v>85</v>
      </c>
      <c r="B16" s="2" t="s">
        <v>86</v>
      </c>
      <c r="C16" s="2" t="s">
        <v>87</v>
      </c>
      <c r="D16" s="2" t="s">
        <v>12</v>
      </c>
      <c r="E16" s="2" t="s">
        <v>88</v>
      </c>
      <c r="F16" s="2" t="s">
        <v>89</v>
      </c>
      <c r="G16" s="3" t="n">
        <v>5</v>
      </c>
      <c r="H16" s="4" t="n">
        <v>1.05</v>
      </c>
      <c r="I16" s="5" t="n">
        <f aca="false">G16*H16</f>
        <v>5.25</v>
      </c>
    </row>
    <row r="17" customFormat="false" ht="15" hidden="false" customHeight="false" outlineLevel="0" collapsed="false">
      <c r="A17" s="2" t="s">
        <v>90</v>
      </c>
      <c r="B17" s="2" t="s">
        <v>91</v>
      </c>
      <c r="C17" s="2" t="s">
        <v>17</v>
      </c>
      <c r="D17" s="2" t="s">
        <v>38</v>
      </c>
      <c r="E17" s="2" t="s">
        <v>92</v>
      </c>
      <c r="F17" s="2" t="s">
        <v>93</v>
      </c>
      <c r="G17" s="3" t="n">
        <v>8</v>
      </c>
      <c r="H17" s="4" t="n">
        <v>0.01</v>
      </c>
      <c r="I17" s="5" t="n">
        <f aca="false">G17*H17</f>
        <v>0.08</v>
      </c>
    </row>
    <row r="18" customFormat="false" ht="15" hidden="false" customHeight="false" outlineLevel="0" collapsed="false">
      <c r="A18" s="2" t="s">
        <v>94</v>
      </c>
      <c r="B18" s="2" t="s">
        <v>95</v>
      </c>
      <c r="C18" s="2" t="s">
        <v>17</v>
      </c>
      <c r="D18" s="2" t="s">
        <v>12</v>
      </c>
      <c r="E18" s="2" t="s">
        <v>96</v>
      </c>
      <c r="F18" s="2" t="s">
        <v>97</v>
      </c>
      <c r="G18" s="3" t="n">
        <v>2</v>
      </c>
      <c r="H18" s="4" t="n">
        <v>0.35</v>
      </c>
      <c r="I18" s="5" t="n">
        <f aca="false">G18*H18</f>
        <v>0.7</v>
      </c>
    </row>
    <row r="19" customFormat="false" ht="15" hidden="false" customHeight="false" outlineLevel="0" collapsed="false">
      <c r="A19" s="2" t="s">
        <v>98</v>
      </c>
      <c r="B19" s="2" t="s">
        <v>99</v>
      </c>
      <c r="C19" s="2" t="s">
        <v>100</v>
      </c>
      <c r="D19" s="2" t="s">
        <v>12</v>
      </c>
      <c r="E19" s="2" t="s">
        <v>101</v>
      </c>
      <c r="F19" s="2" t="s">
        <v>102</v>
      </c>
      <c r="G19" s="3" t="n">
        <v>5</v>
      </c>
      <c r="H19" s="4" t="n">
        <v>0.45</v>
      </c>
      <c r="I19" s="5" t="n">
        <f aca="false">G19*H19</f>
        <v>2.25</v>
      </c>
    </row>
    <row r="20" customFormat="false" ht="15" hidden="false" customHeight="false" outlineLevel="0" collapsed="false">
      <c r="A20" s="2" t="s">
        <v>103</v>
      </c>
      <c r="B20" s="2" t="s">
        <v>104</v>
      </c>
      <c r="C20" s="2" t="s">
        <v>17</v>
      </c>
      <c r="D20" s="2" t="s">
        <v>12</v>
      </c>
      <c r="E20" s="2" t="s">
        <v>105</v>
      </c>
      <c r="F20" s="2" t="s">
        <v>106</v>
      </c>
      <c r="G20" s="3" t="n">
        <v>3</v>
      </c>
      <c r="H20" s="4" t="n">
        <v>0.08</v>
      </c>
      <c r="I20" s="5" t="n">
        <f aca="false">G20*H20</f>
        <v>0.24</v>
      </c>
    </row>
    <row r="21" customFormat="false" ht="15" hidden="false" customHeight="false" outlineLevel="0" collapsed="false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112</v>
      </c>
      <c r="G21" s="3" t="n">
        <v>4</v>
      </c>
      <c r="H21" s="4" t="n">
        <v>0.06</v>
      </c>
      <c r="I21" s="5" t="n">
        <f aca="false">G21*H21</f>
        <v>0.24</v>
      </c>
    </row>
    <row r="22" customFormat="false" ht="15" hidden="false" customHeight="false" outlineLevel="0" collapsed="false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118</v>
      </c>
      <c r="G22" s="3" t="n">
        <v>1</v>
      </c>
      <c r="H22" s="4" t="n">
        <v>0.55</v>
      </c>
      <c r="I22" s="5" t="n">
        <f aca="false">G22*H22</f>
        <v>0.55</v>
      </c>
    </row>
    <row r="23" customFormat="false" ht="15" hidden="false" customHeight="false" outlineLevel="0" collapsed="false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124</v>
      </c>
      <c r="G23" s="3" t="n">
        <v>1</v>
      </c>
      <c r="H23" s="4" t="n">
        <v>2.1</v>
      </c>
      <c r="I23" s="5" t="n">
        <f aca="false">G23*H23</f>
        <v>2.1</v>
      </c>
    </row>
    <row r="24" customFormat="false" ht="15" hidden="false" customHeight="false" outlineLevel="0" collapsed="false">
      <c r="A24" s="2" t="s">
        <v>17</v>
      </c>
      <c r="B24" s="2" t="s">
        <v>125</v>
      </c>
      <c r="C24" s="2" t="s">
        <v>126</v>
      </c>
      <c r="D24" s="2" t="s">
        <v>17</v>
      </c>
      <c r="E24" s="2" t="s">
        <v>127</v>
      </c>
      <c r="F24" s="2" t="s">
        <v>128</v>
      </c>
      <c r="G24" s="3" t="n">
        <v>1</v>
      </c>
      <c r="H24" s="4" t="n">
        <v>2.5</v>
      </c>
      <c r="I24" s="5" t="n">
        <f aca="false">G24*H24</f>
        <v>2.5</v>
      </c>
    </row>
    <row r="25" customFormat="false" ht="15" hidden="false" customHeight="false" outlineLevel="0" collapsed="false">
      <c r="A25" s="2" t="s">
        <v>17</v>
      </c>
      <c r="B25" s="2" t="s">
        <v>129</v>
      </c>
      <c r="C25" s="2" t="s">
        <v>130</v>
      </c>
      <c r="D25" s="2" t="s">
        <v>17</v>
      </c>
      <c r="E25" s="2" t="s">
        <v>17</v>
      </c>
      <c r="F25" s="2" t="s">
        <v>131</v>
      </c>
      <c r="G25" s="3" t="n">
        <v>1</v>
      </c>
      <c r="H25" s="4" t="n">
        <v>6.5</v>
      </c>
      <c r="I25" s="5" t="n">
        <f aca="false">G25*H25</f>
        <v>6.5</v>
      </c>
    </row>
    <row r="26" customFormat="false" ht="15" hidden="false" customHeight="false" outlineLevel="0" collapsed="false">
      <c r="H26" s="6" t="s">
        <v>132</v>
      </c>
      <c r="I26" s="7" t="n">
        <f aca="false">SUM(I2:I25)</f>
        <v>30.52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2026-06-12T18:25:32Z</dcterms:created>
  <dc:creator>openpyxl</dc:creator>
  <dc:description/>
  <dc:language>en-US</dc:language>
  <cp:lastModifiedBy/>
  <dcterms:modified xsi:type="dcterms:W3CDTF">2026-06-12T18:25:32Z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